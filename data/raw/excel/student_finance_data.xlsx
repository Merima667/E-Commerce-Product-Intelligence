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Transaction Log" sheetId="2" state="visible" r:id="rId2"/>
    <sheet xmlns:r="http://schemas.openxmlformats.org/officeDocument/2006/relationships" name="Savings Goals" sheetId="3" state="visible" r:id="rId3"/>
    <sheet xmlns:r="http://schemas.openxmlformats.org/officeDocument/2006/relationships" name="6-Month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E6DA4"/>
      <sz val="11"/>
    </font>
    <font>
      <name val="Arial"/>
      <b val="1"/>
      <color rgb="00FFFFFF"/>
      <sz val="10"/>
    </font>
    <font>
      <name val="Arial"/>
      <b val="1"/>
      <color rgb="001A5C2A"/>
      <sz val="10"/>
    </font>
    <font>
      <name val="Arial"/>
      <color rgb="00000000"/>
      <sz val="10"/>
    </font>
    <font>
      <name val="Arial"/>
      <b val="1"/>
      <color rgb="005C1A1A"/>
      <sz val="10"/>
    </font>
    <font>
      <name val="Arial"/>
      <b val="1"/>
      <color rgb="001A3A5C"/>
      <sz val="10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i val="1"/>
      <color rgb="002E6DA4"/>
      <sz val="10"/>
    </font>
    <font>
      <name val="Arial"/>
      <b val="1"/>
      <color rgb="0000AA44"/>
      <sz val="10"/>
    </font>
    <font>
      <name val="Arial"/>
      <color rgb="00007700"/>
      <sz val="10"/>
    </font>
    <font>
      <name val="Arial"/>
      <b val="1"/>
      <color rgb="00CC2200"/>
      <sz val="10"/>
    </font>
    <font>
      <name val="Arial"/>
      <color rgb="00CC0000"/>
      <sz val="10"/>
    </font>
    <font>
      <name val="Arial"/>
      <b val="1"/>
      <color rgb="00FF8C00"/>
      <sz val="10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D4EDDA"/>
      </patternFill>
    </fill>
    <fill>
      <patternFill patternType="solid">
        <fgColor rgb="00EBF5EC"/>
      </patternFill>
    </fill>
    <fill>
      <patternFill patternType="solid">
        <fgColor rgb="00F5FBF6"/>
      </patternFill>
    </fill>
    <fill>
      <patternFill patternType="solid">
        <fgColor rgb="00FDECEA"/>
      </patternFill>
    </fill>
    <fill>
      <patternFill patternType="solid">
        <fgColor rgb="00F0F6FF"/>
      </patternFill>
    </fill>
    <fill>
      <patternFill patternType="solid">
        <fgColor rgb="00FFFFFF"/>
      </patternFill>
    </fill>
    <fill>
      <patternFill patternType="solid">
        <fgColor rgb="00D9E8F8"/>
      </patternFill>
    </fill>
  </fills>
  <borders count="3">
    <border>
      <left/>
      <right/>
      <top/>
      <bottom/>
      <diagonal/>
    </border>
    <border>
      <left style="thin">
        <color rgb="002E6DA4"/>
      </left>
      <right style="thin">
        <color rgb="002E6DA4"/>
      </right>
      <top style="thin">
        <color rgb="002E6DA4"/>
      </top>
      <bottom style="thin">
        <color rgb="002E6DA4"/>
      </bottom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4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4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164" fontId="0" fillId="10" borderId="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4" fontId="11" fillId="8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4" fontId="13" fillId="9" borderId="1" applyAlignment="1" pivotButton="0" quotePrefix="0" xfId="0">
      <alignment horizontal="center" vertical="center" wrapText="1"/>
    </xf>
    <xf numFmtId="4" fontId="7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4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4" fontId="11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4" fontId="15" fillId="8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8" fillId="0" borderId="0" pivotButton="0" quotePrefix="0" xfId="0"/>
    <xf numFmtId="4" fontId="11" fillId="0" borderId="0" pivotButton="0" quotePrefix="0" xfId="0"/>
    <xf numFmtId="4" fontId="13" fillId="0" borderId="0" pivotButton="0" quotePrefix="0" xfId="0"/>
    <xf numFmtId="4" fontId="7" fillId="0" borderId="0" pivotButton="0" quotePrefix="0" xfId="0"/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4" fontId="7" fillId="10" borderId="2" applyAlignment="1" pivotButton="0" quotePrefix="0" xfId="0">
      <alignment horizontal="center" vertical="center" wrapText="1"/>
    </xf>
    <xf numFmtId="164" fontId="7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'6-Month Trend'!B2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prstDash val="solid"/>
            </a:ln>
          </spPr>
          <cat>
            <numRef>
              <f>'6-Month Trend'!$A$3:$A$8</f>
            </numRef>
          </cat>
          <val>
            <numRef>
              <f>'6-Month Trend'!$B$3:$B$8</f>
            </numRef>
          </val>
        </ser>
        <ser>
          <idx val="1"/>
          <order val="1"/>
          <tx>
            <strRef>
              <f>'6-Month Trend'!C2</f>
            </strRef>
          </tx>
          <spPr>
            <a:solidFill xmlns:a="http://schemas.openxmlformats.org/drawingml/2006/main">
              <a:srgbClr val="CC4444"/>
            </a:solidFill>
            <a:ln xmlns:a="http://schemas.openxmlformats.org/drawingml/2006/main">
              <a:prstDash val="solid"/>
            </a:ln>
          </spPr>
          <cat>
            <numRef>
              <f>'6-Month Trend'!$A$3:$A$8</f>
            </numRef>
          </cat>
          <val>
            <numRef>
              <f>'6-Month Trend'!$C$3:$C$8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  <col width="22" customWidth="1" min="8" max="8"/>
  </cols>
  <sheetData>
    <row r="1" ht="32" customHeight="1">
      <c r="A1" s="1" t="inlineStr">
        <is>
          <t>STUDENT FINANCE MANAGER – Monthly Budget Tracker</t>
        </is>
      </c>
    </row>
    <row r="2" ht="20" customHeight="1">
      <c r="A2" s="2" t="inlineStr">
        <is>
          <t>Academic Year 2024/2025 | Month: March</t>
        </is>
      </c>
    </row>
    <row r="3" ht="22" customHeight="1">
      <c r="A3" s="3" t="inlineStr">
        <is>
          <t>Category</t>
        </is>
      </c>
      <c r="B3" s="3" t="inlineStr">
        <is>
          <t>Description</t>
        </is>
      </c>
      <c r="C3" s="3" t="inlineStr">
        <is>
          <t>Budgeted (BAM)</t>
        </is>
      </c>
      <c r="D3" s="3" t="inlineStr">
        <is>
          <t>Actual (BAM)</t>
        </is>
      </c>
      <c r="E3" s="3" t="inlineStr">
        <is>
          <t>Variance (BAM)</t>
        </is>
      </c>
      <c r="F3" s="3" t="inlineStr">
        <is>
          <t>Variance %</t>
        </is>
      </c>
      <c r="G3" s="3" t="inlineStr">
        <is>
          <t>Status</t>
        </is>
      </c>
      <c r="H3" s="3" t="inlineStr">
        <is>
          <t>Notes</t>
        </is>
      </c>
    </row>
    <row r="4" ht="18" customHeight="1">
      <c r="A4" s="4" t="inlineStr">
        <is>
          <t>INCOME</t>
        </is>
      </c>
      <c r="B4" s="5" t="inlineStr">
        <is>
          <t>Part-time Employment</t>
        </is>
      </c>
      <c r="C4" s="6" t="n">
        <v>450</v>
      </c>
      <c r="D4" s="6" t="n">
        <v>460</v>
      </c>
      <c r="E4" s="6">
        <f>D4-C4</f>
        <v/>
      </c>
      <c r="F4" s="7">
        <f>IF(C4&lt;&gt;0,(D4-C4)/C4,0)</f>
        <v/>
      </c>
      <c r="G4" s="8">
        <f>IF(E4&gt;=0,"✓ OK","⚠ Under")</f>
        <v/>
      </c>
      <c r="H4" s="8" t="n"/>
    </row>
    <row r="5" ht="18" customHeight="1">
      <c r="A5" s="4" t="inlineStr">
        <is>
          <t>INCOME</t>
        </is>
      </c>
      <c r="B5" s="9" t="inlineStr">
        <is>
          <t>Merit Scholarship</t>
        </is>
      </c>
      <c r="C5" s="10" t="n">
        <v>300</v>
      </c>
      <c r="D5" s="10" t="n">
        <v>300</v>
      </c>
      <c r="E5" s="10">
        <f>D5-C5</f>
        <v/>
      </c>
      <c r="F5" s="11">
        <f>IF(C5&lt;&gt;0,(D5-C5)/C5,0)</f>
        <v/>
      </c>
      <c r="G5" s="12">
        <f>IF(E5&gt;=0,"✓ OK","⚠ Under")</f>
        <v/>
      </c>
      <c r="H5" s="12" t="n"/>
    </row>
    <row r="6" ht="18" customHeight="1">
      <c r="A6" s="4" t="inlineStr">
        <is>
          <t>INCOME</t>
        </is>
      </c>
      <c r="B6" s="5" t="inlineStr">
        <is>
          <t>Parental Allowance</t>
        </is>
      </c>
      <c r="C6" s="6" t="n">
        <v>250</v>
      </c>
      <c r="D6" s="6" t="n">
        <v>250</v>
      </c>
      <c r="E6" s="6">
        <f>D6-C6</f>
        <v/>
      </c>
      <c r="F6" s="7">
        <f>IF(C6&lt;&gt;0,(D6-C6)/C6,0)</f>
        <v/>
      </c>
      <c r="G6" s="8">
        <f>IF(E6&gt;=0,"✓ OK","⚠ Under")</f>
        <v/>
      </c>
      <c r="H6" s="8" t="n"/>
    </row>
    <row r="7" ht="18" customHeight="1">
      <c r="A7" s="4" t="inlineStr">
        <is>
          <t>INCOME</t>
        </is>
      </c>
      <c r="B7" s="9" t="inlineStr">
        <is>
          <t>Freelance Work</t>
        </is>
      </c>
      <c r="C7" s="10" t="n">
        <v>150</v>
      </c>
      <c r="D7" s="10" t="n">
        <v>150</v>
      </c>
      <c r="E7" s="10">
        <f>D7-C7</f>
        <v/>
      </c>
      <c r="F7" s="11">
        <f>IF(C7&lt;&gt;0,(D7-C7)/C7,0)</f>
        <v/>
      </c>
      <c r="G7" s="12">
        <f>IF(E7&gt;=0,"✓ OK","⚠ Under")</f>
        <v/>
      </c>
      <c r="H7" s="12" t="n"/>
    </row>
    <row r="8" ht="18" customHeight="1">
      <c r="A8" s="4" t="inlineStr">
        <is>
          <t>INCOME</t>
        </is>
      </c>
      <c r="B8" s="5" t="inlineStr">
        <is>
          <t>Student Loan (monthly split)</t>
        </is>
      </c>
      <c r="C8" s="6" t="n">
        <v>200</v>
      </c>
      <c r="D8" s="6" t="n">
        <v>200</v>
      </c>
      <c r="E8" s="6">
        <f>D8-C8</f>
        <v/>
      </c>
      <c r="F8" s="7">
        <f>IF(C8&lt;&gt;0,(D8-C8)/C8,0)</f>
        <v/>
      </c>
      <c r="G8" s="8">
        <f>IF(E8&gt;=0,"✓ OK","⚠ Under")</f>
        <v/>
      </c>
      <c r="H8" s="8" t="n"/>
    </row>
    <row r="9" ht="6" customHeight="1"/>
    <row r="10" ht="18" customHeight="1">
      <c r="A10" s="13" t="inlineStr">
        <is>
          <t>EXPENSE</t>
        </is>
      </c>
      <c r="B10" s="14" t="inlineStr">
        <is>
          <t>Rent &amp; Utilities</t>
        </is>
      </c>
      <c r="C10" s="15" t="n">
        <v>400</v>
      </c>
      <c r="D10" s="15" t="n">
        <v>400</v>
      </c>
      <c r="E10" s="15">
        <f>C10-D10</f>
        <v/>
      </c>
      <c r="F10" s="16">
        <f>IF(C10&lt;&gt;0,(C10-D10)/C10,0)</f>
        <v/>
      </c>
      <c r="G10" s="17">
        <f>IF(E10&gt;=0,"✓ Under","⚠ Over")</f>
        <v/>
      </c>
      <c r="H10" s="17" t="n"/>
    </row>
    <row r="11" ht="18" customHeight="1">
      <c r="A11" s="13" t="inlineStr">
        <is>
          <t>EXPENSE</t>
        </is>
      </c>
      <c r="B11" s="18" t="inlineStr">
        <is>
          <t>Groceries &amp; Food</t>
        </is>
      </c>
      <c r="C11" s="19" t="n">
        <v>200</v>
      </c>
      <c r="D11" s="19" t="n">
        <v>230</v>
      </c>
      <c r="E11" s="19">
        <f>C11-D11</f>
        <v/>
      </c>
      <c r="F11" s="20">
        <f>IF(C11&lt;&gt;0,(C11-D11)/C11,0)</f>
        <v/>
      </c>
      <c r="G11" s="21">
        <f>IF(E11&gt;=0,"✓ Under","⚠ Over")</f>
        <v/>
      </c>
      <c r="H11" s="21" t="n"/>
    </row>
    <row r="12" ht="18" customHeight="1">
      <c r="A12" s="13" t="inlineStr">
        <is>
          <t>EXPENSE</t>
        </is>
      </c>
      <c r="B12" s="14" t="inlineStr">
        <is>
          <t>Transport</t>
        </is>
      </c>
      <c r="C12" s="15" t="n">
        <v>80</v>
      </c>
      <c r="D12" s="15" t="n">
        <v>65</v>
      </c>
      <c r="E12" s="15">
        <f>C12-D12</f>
        <v/>
      </c>
      <c r="F12" s="16">
        <f>IF(C12&lt;&gt;0,(C12-D12)/C12,0)</f>
        <v/>
      </c>
      <c r="G12" s="17">
        <f>IF(E12&gt;=0,"✓ Under","⚠ Over")</f>
        <v/>
      </c>
      <c r="H12" s="17" t="n"/>
    </row>
    <row r="13" ht="18" customHeight="1">
      <c r="A13" s="13" t="inlineStr">
        <is>
          <t>EXPENSE</t>
        </is>
      </c>
      <c r="B13" s="18" t="inlineStr">
        <is>
          <t>Books &amp; Supplies</t>
        </is>
      </c>
      <c r="C13" s="19" t="n">
        <v>60</v>
      </c>
      <c r="D13" s="19" t="n">
        <v>90</v>
      </c>
      <c r="E13" s="19">
        <f>C13-D13</f>
        <v/>
      </c>
      <c r="F13" s="20">
        <f>IF(C13&lt;&gt;0,(C13-D13)/C13,0)</f>
        <v/>
      </c>
      <c r="G13" s="21">
        <f>IF(E13&gt;=0,"✓ Under","⚠ Over")</f>
        <v/>
      </c>
      <c r="H13" s="21" t="n"/>
    </row>
    <row r="14" ht="18" customHeight="1">
      <c r="A14" s="13" t="inlineStr">
        <is>
          <t>EXPENSE</t>
        </is>
      </c>
      <c r="B14" s="14" t="inlineStr">
        <is>
          <t>Entertainment</t>
        </is>
      </c>
      <c r="C14" s="15" t="n">
        <v>70</v>
      </c>
      <c r="D14" s="15" t="n">
        <v>55</v>
      </c>
      <c r="E14" s="15">
        <f>C14-D14</f>
        <v/>
      </c>
      <c r="F14" s="16">
        <f>IF(C14&lt;&gt;0,(C14-D14)/C14,0)</f>
        <v/>
      </c>
      <c r="G14" s="17">
        <f>IF(E14&gt;=0,"✓ Under","⚠ Over")</f>
        <v/>
      </c>
      <c r="H14" s="17" t="n"/>
    </row>
    <row r="15" ht="18" customHeight="1">
      <c r="A15" s="13" t="inlineStr">
        <is>
          <t>EXPENSE</t>
        </is>
      </c>
      <c r="B15" s="18" t="inlineStr">
        <is>
          <t>Health &amp; Personal</t>
        </is>
      </c>
      <c r="C15" s="19" t="n">
        <v>50</v>
      </c>
      <c r="D15" s="19" t="n">
        <v>48</v>
      </c>
      <c r="E15" s="19">
        <f>C15-D15</f>
        <v/>
      </c>
      <c r="F15" s="20">
        <f>IF(C15&lt;&gt;0,(C15-D15)/C15,0)</f>
        <v/>
      </c>
      <c r="G15" s="21">
        <f>IF(E15&gt;=0,"✓ Under","⚠ Over")</f>
        <v/>
      </c>
      <c r="H15" s="21" t="n"/>
    </row>
    <row r="16" ht="18" customHeight="1">
      <c r="A16" s="13" t="inlineStr">
        <is>
          <t>EXPENSE</t>
        </is>
      </c>
      <c r="B16" s="14" t="inlineStr">
        <is>
          <t>Savings Contribution</t>
        </is>
      </c>
      <c r="C16" s="15" t="n">
        <v>150</v>
      </c>
      <c r="D16" s="15" t="n">
        <v>120</v>
      </c>
      <c r="E16" s="15">
        <f>C16-D16</f>
        <v/>
      </c>
      <c r="F16" s="16">
        <f>IF(C16&lt;&gt;0,(C16-D16)/C16,0)</f>
        <v/>
      </c>
      <c r="G16" s="17">
        <f>IF(E16&gt;=0,"✓ Under","⚠ Over")</f>
        <v/>
      </c>
      <c r="H16" s="17" t="n"/>
    </row>
    <row r="17" ht="6" customHeight="1"/>
    <row r="18" ht="20" customHeight="1">
      <c r="A18" s="22" t="inlineStr">
        <is>
          <t>SUMMARY</t>
        </is>
      </c>
      <c r="B18" s="23" t="inlineStr">
        <is>
          <t>Total Income</t>
        </is>
      </c>
      <c r="C18" s="24">
        <f>SUM(C4:C8)</f>
        <v/>
      </c>
      <c r="D18" s="24">
        <f>SUM(D4:D8)</f>
        <v/>
      </c>
      <c r="E18" s="24" t="n"/>
      <c r="F18" s="24" t="n"/>
      <c r="G18" s="24" t="n"/>
      <c r="H18" s="24" t="n"/>
    </row>
    <row r="19" ht="20" customHeight="1">
      <c r="A19" s="22" t="inlineStr">
        <is>
          <t>SUMMARY</t>
        </is>
      </c>
      <c r="B19" s="23" t="inlineStr">
        <is>
          <t>Total Expenses</t>
        </is>
      </c>
      <c r="C19" s="24">
        <f>SUM(C10:C16)</f>
        <v/>
      </c>
      <c r="D19" s="24">
        <f>SUM(D10:D16)</f>
        <v/>
      </c>
      <c r="E19" s="24" t="n"/>
      <c r="F19" s="24" t="n"/>
      <c r="G19" s="24" t="n"/>
      <c r="H19" s="24" t="n"/>
    </row>
    <row r="20" ht="20" customHeight="1">
      <c r="A20" s="22" t="inlineStr">
        <is>
          <t>SUMMARY</t>
        </is>
      </c>
      <c r="B20" s="23" t="inlineStr">
        <is>
          <t>Net Cash Flow</t>
        </is>
      </c>
      <c r="C20" s="24">
        <f>C18-C19</f>
        <v/>
      </c>
      <c r="D20" s="24">
        <f>D18-D19</f>
        <v/>
      </c>
      <c r="E20" s="24" t="n"/>
      <c r="F20" s="24" t="n"/>
      <c r="G20" s="24" t="n"/>
      <c r="H20" s="24" t="n"/>
    </row>
    <row r="21" ht="20" customHeight="1">
      <c r="A21" s="22" t="inlineStr">
        <is>
          <t>SUMMARY</t>
        </is>
      </c>
      <c r="B21" s="23" t="inlineStr">
        <is>
          <t>Savings Rate %</t>
        </is>
      </c>
      <c r="C21" s="24" t="n"/>
      <c r="D21" s="25">
        <f>IF(D18&gt;0,D16/D18,0)</f>
        <v/>
      </c>
      <c r="E21" s="24" t="n"/>
      <c r="F21" s="24" t="n"/>
      <c r="G21" s="24" t="n"/>
      <c r="H21" s="24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18" customWidth="1" min="6" max="6"/>
    <col width="10" customWidth="1" min="7" max="7"/>
  </cols>
  <sheetData>
    <row r="1" ht="28" customHeight="1">
      <c r="A1" s="26" t="inlineStr">
        <is>
          <t>STUDENT FINANCE MANAGER – Transaction Log</t>
        </is>
      </c>
    </row>
    <row r="2">
      <c r="A2" s="27" t="inlineStr">
        <is>
          <t>All financial transactions for Academic Year 2024/2025</t>
        </is>
      </c>
    </row>
    <row r="3" ht="22" customHeight="1">
      <c r="A3" s="3" t="inlineStr">
        <is>
          <t>Date</t>
        </is>
      </c>
      <c r="B3" s="3" t="inlineStr">
        <is>
          <t>Description</t>
        </is>
      </c>
      <c r="C3" s="3" t="inlineStr">
        <is>
          <t>Category</t>
        </is>
      </c>
      <c r="D3" s="3" t="inlineStr">
        <is>
          <t>Amount (BAM)</t>
        </is>
      </c>
      <c r="E3" s="3" t="inlineStr">
        <is>
          <t>Type</t>
        </is>
      </c>
      <c r="F3" s="3" t="inlineStr">
        <is>
          <t>Running Balance</t>
        </is>
      </c>
      <c r="G3" s="3" t="inlineStr">
        <is>
          <t>Receipt</t>
        </is>
      </c>
    </row>
    <row r="4" ht="17" customHeight="1">
      <c r="A4" s="17" t="inlineStr">
        <is>
          <t>2025-03-20</t>
        </is>
      </c>
      <c r="B4" s="14" t="inlineStr">
        <is>
          <t>Café paycheck – March</t>
        </is>
      </c>
      <c r="C4" s="17" t="inlineStr">
        <is>
          <t>Employment</t>
        </is>
      </c>
      <c r="D4" s="28" t="n">
        <v>450</v>
      </c>
      <c r="E4" s="17" t="inlineStr">
        <is>
          <t>Income</t>
        </is>
      </c>
      <c r="F4" s="29">
        <f>D4</f>
        <v/>
      </c>
      <c r="G4" s="30" t="inlineStr">
        <is>
          <t>Yes</t>
        </is>
      </c>
    </row>
    <row r="5" ht="17" customHeight="1">
      <c r="A5" s="21" t="inlineStr">
        <is>
          <t>2025-03-18</t>
        </is>
      </c>
      <c r="B5" s="18" t="inlineStr">
        <is>
          <t>Konzum supermarket</t>
        </is>
      </c>
      <c r="C5" s="21" t="inlineStr">
        <is>
          <t>Food</t>
        </is>
      </c>
      <c r="D5" s="31" t="n">
        <v>-85.5</v>
      </c>
      <c r="E5" s="21" t="inlineStr">
        <is>
          <t>Expense</t>
        </is>
      </c>
      <c r="F5" s="32">
        <f>F4+D5</f>
        <v/>
      </c>
      <c r="G5" s="33" t="inlineStr">
        <is>
          <t>Yes</t>
        </is>
      </c>
    </row>
    <row r="6" ht="17" customHeight="1">
      <c r="A6" s="17" t="inlineStr">
        <is>
          <t>2025-03-17</t>
        </is>
      </c>
      <c r="B6" s="14" t="inlineStr">
        <is>
          <t>Bus monthly pass</t>
        </is>
      </c>
      <c r="C6" s="17" t="inlineStr">
        <is>
          <t>Transport</t>
        </is>
      </c>
      <c r="D6" s="34" t="n">
        <v>-35</v>
      </c>
      <c r="E6" s="17" t="inlineStr">
        <is>
          <t>Expense</t>
        </is>
      </c>
      <c r="F6" s="29">
        <f>F5+D6</f>
        <v/>
      </c>
      <c r="G6" s="35" t="inlineStr">
        <is>
          <t>No</t>
        </is>
      </c>
    </row>
    <row r="7" ht="17" customHeight="1">
      <c r="A7" s="21" t="inlineStr">
        <is>
          <t>2025-03-15</t>
        </is>
      </c>
      <c r="B7" s="18" t="inlineStr">
        <is>
          <t>Merit scholarship – March</t>
        </is>
      </c>
      <c r="C7" s="21" t="inlineStr">
        <is>
          <t>Grant</t>
        </is>
      </c>
      <c r="D7" s="36" t="n">
        <v>300</v>
      </c>
      <c r="E7" s="21" t="inlineStr">
        <is>
          <t>Income</t>
        </is>
      </c>
      <c r="F7" s="32">
        <f>F6+D7</f>
        <v/>
      </c>
      <c r="G7" s="33" t="inlineStr">
        <is>
          <t>Yes</t>
        </is>
      </c>
    </row>
    <row r="8" ht="17" customHeight="1">
      <c r="A8" s="17" t="inlineStr">
        <is>
          <t>2025-03-14</t>
        </is>
      </c>
      <c r="B8" s="14" t="inlineStr">
        <is>
          <t>Python Programming textbook</t>
        </is>
      </c>
      <c r="C8" s="17" t="inlineStr">
        <is>
          <t>Books</t>
        </is>
      </c>
      <c r="D8" s="34" t="n">
        <v>-42</v>
      </c>
      <c r="E8" s="17" t="inlineStr">
        <is>
          <t>Expense</t>
        </is>
      </c>
      <c r="F8" s="29">
        <f>F7+D8</f>
        <v/>
      </c>
      <c r="G8" s="30" t="inlineStr">
        <is>
          <t>Yes</t>
        </is>
      </c>
    </row>
    <row r="9" ht="17" customHeight="1">
      <c r="A9" s="21" t="inlineStr">
        <is>
          <t>2025-03-12</t>
        </is>
      </c>
      <c r="B9" s="18" t="inlineStr">
        <is>
          <t>Freelance invoice #7</t>
        </is>
      </c>
      <c r="C9" s="21" t="inlineStr">
        <is>
          <t>Freelance</t>
        </is>
      </c>
      <c r="D9" s="36" t="n">
        <v>150</v>
      </c>
      <c r="E9" s="21" t="inlineStr">
        <is>
          <t>Income</t>
        </is>
      </c>
      <c r="F9" s="32">
        <f>F8+D9</f>
        <v/>
      </c>
      <c r="G9" s="37" t="inlineStr">
        <is>
          <t>No</t>
        </is>
      </c>
    </row>
    <row r="10" ht="17" customHeight="1">
      <c r="A10" s="17" t="inlineStr">
        <is>
          <t>2025-03-10</t>
        </is>
      </c>
      <c r="B10" s="14" t="inlineStr">
        <is>
          <t>Cinema with friends</t>
        </is>
      </c>
      <c r="C10" s="17" t="inlineStr">
        <is>
          <t>Entertainment</t>
        </is>
      </c>
      <c r="D10" s="34" t="n">
        <v>-12</v>
      </c>
      <c r="E10" s="17" t="inlineStr">
        <is>
          <t>Expense</t>
        </is>
      </c>
      <c r="F10" s="29">
        <f>F9+D10</f>
        <v/>
      </c>
      <c r="G10" s="30" t="inlineStr">
        <is>
          <t>Yes</t>
        </is>
      </c>
    </row>
    <row r="11" ht="17" customHeight="1">
      <c r="A11" s="21" t="inlineStr">
        <is>
          <t>2025-03-08</t>
        </is>
      </c>
      <c r="B11" s="18" t="inlineStr">
        <is>
          <t>Gym membership</t>
        </is>
      </c>
      <c r="C11" s="21" t="inlineStr">
        <is>
          <t>Health</t>
        </is>
      </c>
      <c r="D11" s="31" t="n">
        <v>-25</v>
      </c>
      <c r="E11" s="21" t="inlineStr">
        <is>
          <t>Expense</t>
        </is>
      </c>
      <c r="F11" s="32">
        <f>F10+D11</f>
        <v/>
      </c>
      <c r="G11" s="33" t="inlineStr">
        <is>
          <t>Yes</t>
        </is>
      </c>
    </row>
    <row r="12" ht="17" customHeight="1">
      <c r="A12" s="17" t="inlineStr">
        <is>
          <t>2025-03-05</t>
        </is>
      </c>
      <c r="B12" s="14" t="inlineStr">
        <is>
          <t>Savings fund transfer</t>
        </is>
      </c>
      <c r="C12" s="17" t="inlineStr">
        <is>
          <t>Savings</t>
        </is>
      </c>
      <c r="D12" s="38" t="n">
        <v>-120</v>
      </c>
      <c r="E12" s="17" t="inlineStr">
        <is>
          <t>Transfer</t>
        </is>
      </c>
      <c r="F12" s="29">
        <f>F11+D12</f>
        <v/>
      </c>
      <c r="G12" s="35" t="inlineStr">
        <is>
          <t>No</t>
        </is>
      </c>
    </row>
    <row r="13" ht="17" customHeight="1">
      <c r="A13" s="21" t="inlineStr">
        <is>
          <t>2025-03-01</t>
        </is>
      </c>
      <c r="B13" s="18" t="inlineStr">
        <is>
          <t>Apartment rent – March</t>
        </is>
      </c>
      <c r="C13" s="21" t="inlineStr">
        <is>
          <t>Housing</t>
        </is>
      </c>
      <c r="D13" s="31" t="n">
        <v>-400</v>
      </c>
      <c r="E13" s="21" t="inlineStr">
        <is>
          <t>Expense</t>
        </is>
      </c>
      <c r="F13" s="32">
        <f>F12+D13</f>
        <v/>
      </c>
      <c r="G13" s="33" t="inlineStr">
        <is>
          <t>Yes</t>
        </is>
      </c>
    </row>
    <row r="14" ht="17" customHeight="1">
      <c r="A14" s="17" t="inlineStr">
        <is>
          <t>2025-02-28</t>
        </is>
      </c>
      <c r="B14" s="14" t="inlineStr">
        <is>
          <t>Parental allowance</t>
        </is>
      </c>
      <c r="C14" s="17" t="inlineStr">
        <is>
          <t>Family</t>
        </is>
      </c>
      <c r="D14" s="28" t="n">
        <v>250</v>
      </c>
      <c r="E14" s="17" t="inlineStr">
        <is>
          <t>Income</t>
        </is>
      </c>
      <c r="F14" s="29">
        <f>F13+D14</f>
        <v/>
      </c>
      <c r="G14" s="30" t="inlineStr">
        <is>
          <t>Yes</t>
        </is>
      </c>
    </row>
    <row r="15" ht="17" customHeight="1">
      <c r="A15" s="21" t="inlineStr">
        <is>
          <t>2025-02-25</t>
        </is>
      </c>
      <c r="B15" s="18" t="inlineStr">
        <is>
          <t>Electricity bill</t>
        </is>
      </c>
      <c r="C15" s="21" t="inlineStr">
        <is>
          <t>Utilities</t>
        </is>
      </c>
      <c r="D15" s="31" t="n">
        <v>-55</v>
      </c>
      <c r="E15" s="21" t="inlineStr">
        <is>
          <t>Expense</t>
        </is>
      </c>
      <c r="F15" s="32">
        <f>F14+D15</f>
        <v/>
      </c>
      <c r="G15" s="37" t="inlineStr">
        <is>
          <t>No</t>
        </is>
      </c>
    </row>
    <row r="16" ht="17" customHeight="1">
      <c r="A16" s="17" t="inlineStr">
        <is>
          <t>2025-02-22</t>
        </is>
      </c>
      <c r="B16" s="14" t="inlineStr">
        <is>
          <t>Café paycheck – February</t>
        </is>
      </c>
      <c r="C16" s="17" t="inlineStr">
        <is>
          <t>Employment</t>
        </is>
      </c>
      <c r="D16" s="28" t="n">
        <v>420</v>
      </c>
      <c r="E16" s="17" t="inlineStr">
        <is>
          <t>Income</t>
        </is>
      </c>
      <c r="F16" s="29">
        <f>F15+D16</f>
        <v/>
      </c>
      <c r="G16" s="30" t="inlineStr">
        <is>
          <t>Yes</t>
        </is>
      </c>
    </row>
    <row r="17" ht="17" customHeight="1">
      <c r="A17" s="21" t="inlineStr">
        <is>
          <t>2025-02-20</t>
        </is>
      </c>
      <c r="B17" s="18" t="inlineStr">
        <is>
          <t>University library fine</t>
        </is>
      </c>
      <c r="C17" s="21" t="inlineStr">
        <is>
          <t>Misc</t>
        </is>
      </c>
      <c r="D17" s="31" t="n">
        <v>-8</v>
      </c>
      <c r="E17" s="21" t="inlineStr">
        <is>
          <t>Expense</t>
        </is>
      </c>
      <c r="F17" s="32">
        <f>F16+D17</f>
        <v/>
      </c>
      <c r="G17" s="33" t="inlineStr">
        <is>
          <t>Yes</t>
        </is>
      </c>
    </row>
    <row r="18" ht="17" customHeight="1">
      <c r="A18" s="17" t="inlineStr">
        <is>
          <t>2025-02-18</t>
        </is>
      </c>
      <c r="B18" s="14" t="inlineStr">
        <is>
          <t>Online course subscription</t>
        </is>
      </c>
      <c r="C18" s="17" t="inlineStr">
        <is>
          <t>Education</t>
        </is>
      </c>
      <c r="D18" s="34" t="n">
        <v>-29</v>
      </c>
      <c r="E18" s="17" t="inlineStr">
        <is>
          <t>Expense</t>
        </is>
      </c>
      <c r="F18" s="29">
        <f>F17+D18</f>
        <v/>
      </c>
      <c r="G18" s="35" t="inlineStr">
        <is>
          <t>No</t>
        </is>
      </c>
    </row>
    <row r="20">
      <c r="A20" s="39" t="inlineStr">
        <is>
          <t>SUMMARY</t>
        </is>
      </c>
      <c r="B20" s="40" t="inlineStr">
        <is>
          <t>Total Income</t>
        </is>
      </c>
      <c r="D20" s="41">
        <f>SUMIF(E4:E19,"Income",D4:D19)+SUMIF(E4:E19,"Grant",D4:D19)+SUMIF(E4:E19,"Freelance",D4:D19)+SUMIF(E4:E19,"Family",D4:D19)</f>
        <v/>
      </c>
    </row>
    <row r="21">
      <c r="B21" s="40" t="inlineStr">
        <is>
          <t>Total Expenses</t>
        </is>
      </c>
      <c r="D21" s="42">
        <f>SUMIF(E4:E19,"Expense",D4:D19)</f>
        <v/>
      </c>
    </row>
    <row r="22">
      <c r="B22" s="40" t="inlineStr">
        <is>
          <t>Net Balance</t>
        </is>
      </c>
      <c r="D22" s="43">
        <f>D20+D21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 ht="28" customHeight="1">
      <c r="A1" s="26" t="inlineStr">
        <is>
          <t>STUDENT FINANCE MANAGER – Savings Goals Tracker</t>
        </is>
      </c>
    </row>
    <row r="2">
      <c r="A2" s="3" t="inlineStr">
        <is>
          <t>Goal Name</t>
        </is>
      </c>
      <c r="B2" s="3" t="inlineStr">
        <is>
          <t>Target (BAM)</t>
        </is>
      </c>
      <c r="C2" s="3" t="inlineStr">
        <is>
          <t>Saved (BAM)</t>
        </is>
      </c>
      <c r="D2" s="3" t="inlineStr">
        <is>
          <t>Remaining</t>
        </is>
      </c>
      <c r="E2" s="3" t="inlineStr">
        <is>
          <t>Progress %</t>
        </is>
      </c>
      <c r="F2" s="3" t="inlineStr">
        <is>
          <t>ETA</t>
        </is>
      </c>
    </row>
    <row r="3" ht="18" customHeight="1">
      <c r="A3" s="44" t="inlineStr">
        <is>
          <t>Emergency Fund</t>
        </is>
      </c>
      <c r="B3" s="15" t="n">
        <v>3000</v>
      </c>
      <c r="C3" s="15" t="n">
        <v>1440</v>
      </c>
      <c r="D3" s="15">
        <f>B3-C3</f>
        <v/>
      </c>
      <c r="E3" s="16">
        <f>IF(B3&gt;0,C3/B3,0)</f>
        <v/>
      </c>
      <c r="F3" s="17" t="inlineStr">
        <is>
          <t>13 month(s)</t>
        </is>
      </c>
    </row>
    <row r="4" ht="18" customHeight="1">
      <c r="A4" s="45" t="inlineStr">
        <is>
          <t>Laptop Upgrade</t>
        </is>
      </c>
      <c r="B4" s="19" t="n">
        <v>500</v>
      </c>
      <c r="C4" s="19" t="n">
        <v>500</v>
      </c>
      <c r="D4" s="19">
        <f>B4-C4</f>
        <v/>
      </c>
      <c r="E4" s="20">
        <f>IF(B4&gt;0,C4/B4,0)</f>
        <v/>
      </c>
      <c r="F4" s="21" t="inlineStr">
        <is>
          <t>1 month(s)</t>
        </is>
      </c>
    </row>
    <row r="5" ht="18" customHeight="1">
      <c r="A5" s="44" t="inlineStr">
        <is>
          <t>Summer Holiday</t>
        </is>
      </c>
      <c r="B5" s="15" t="n">
        <v>800</v>
      </c>
      <c r="C5" s="15" t="n">
        <v>220</v>
      </c>
      <c r="D5" s="15">
        <f>B5-C5</f>
        <v/>
      </c>
      <c r="E5" s="16">
        <f>IF(B5&gt;0,C5/B5,0)</f>
        <v/>
      </c>
      <c r="F5" s="17" t="inlineStr">
        <is>
          <t>5 month(s)</t>
        </is>
      </c>
    </row>
    <row r="6" ht="18" customHeight="1">
      <c r="A6" s="45" t="inlineStr">
        <is>
          <t>Masters Tuition</t>
        </is>
      </c>
      <c r="B6" s="19" t="n">
        <v>5000</v>
      </c>
      <c r="C6" s="19" t="n">
        <v>750</v>
      </c>
      <c r="D6" s="19">
        <f>B6-C6</f>
        <v/>
      </c>
      <c r="E6" s="20">
        <f>IF(B6&gt;0,C6/B6,0)</f>
        <v/>
      </c>
      <c r="F6" s="21" t="inlineStr">
        <is>
          <t>35 month(s)</t>
        </is>
      </c>
    </row>
    <row r="7" ht="18" customHeight="1">
      <c r="A7" s="44" t="inlineStr">
        <is>
          <t>Car Down Payment</t>
        </is>
      </c>
      <c r="B7" s="15" t="n">
        <v>2000</v>
      </c>
      <c r="C7" s="15" t="n">
        <v>180</v>
      </c>
      <c r="D7" s="15">
        <f>B7-C7</f>
        <v/>
      </c>
      <c r="E7" s="16">
        <f>IF(B7&gt;0,C7/B7,0)</f>
        <v/>
      </c>
      <c r="F7" s="17" t="inlineStr">
        <is>
          <t>15 month(s)</t>
        </is>
      </c>
    </row>
    <row r="8" ht="22" customHeight="1">
      <c r="A8" s="46" t="inlineStr">
        <is>
          <t>TOTAL</t>
        </is>
      </c>
      <c r="B8" s="47">
        <f>SUM(B3:B7)</f>
        <v/>
      </c>
      <c r="C8" s="47">
        <f>SUM(C3:C7)</f>
        <v/>
      </c>
      <c r="D8" s="47">
        <f>SUM(D3:D7)</f>
        <v/>
      </c>
      <c r="E8" s="48">
        <f>IF(B8&gt;0,C8/B8,0)</f>
        <v/>
      </c>
      <c r="F8" s="2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</cols>
  <sheetData>
    <row r="1" ht="28" customHeight="1">
      <c r="A1" s="26" t="inlineStr">
        <is>
          <t>STUDENT FINANCE MANAGER – 6-Month Financial Trend</t>
        </is>
      </c>
    </row>
    <row r="2">
      <c r="A2" s="3" t="inlineStr">
        <is>
          <t>Month</t>
        </is>
      </c>
      <c r="B2" s="3" t="inlineStr">
        <is>
          <t>Income (BAM)</t>
        </is>
      </c>
      <c r="C2" s="3" t="inlineStr">
        <is>
          <t>Expenses (BAM)</t>
        </is>
      </c>
      <c r="D2" s="3" t="inlineStr">
        <is>
          <t>Savings (BAM)</t>
        </is>
      </c>
      <c r="E2" s="3" t="inlineStr">
        <is>
          <t>Net Flow</t>
        </is>
      </c>
      <c r="F2" s="3" t="inlineStr">
        <is>
          <t>Savings Rate</t>
        </is>
      </c>
    </row>
    <row r="3" ht="18" customHeight="1">
      <c r="A3" s="44" t="inlineStr">
        <is>
          <t>Oct 2024</t>
        </is>
      </c>
      <c r="B3" s="15" t="n">
        <v>1200</v>
      </c>
      <c r="C3" s="15" t="n">
        <v>980</v>
      </c>
      <c r="D3" s="15" t="n">
        <v>90</v>
      </c>
      <c r="E3" s="15">
        <f>B3-C3</f>
        <v/>
      </c>
      <c r="F3" s="16">
        <f>IF(B3&gt;0,D3/B3,0)</f>
        <v/>
      </c>
    </row>
    <row r="4" ht="18" customHeight="1">
      <c r="A4" s="45" t="inlineStr">
        <is>
          <t>Nov 2024</t>
        </is>
      </c>
      <c r="B4" s="19" t="n">
        <v>1250</v>
      </c>
      <c r="C4" s="19" t="n">
        <v>1010</v>
      </c>
      <c r="D4" s="19" t="n">
        <v>100</v>
      </c>
      <c r="E4" s="19">
        <f>B4-C4</f>
        <v/>
      </c>
      <c r="F4" s="20">
        <f>IF(B4&gt;0,D4/B4,0)</f>
        <v/>
      </c>
    </row>
    <row r="5" ht="18" customHeight="1">
      <c r="A5" s="44" t="inlineStr">
        <is>
          <t>Dec 2024</t>
        </is>
      </c>
      <c r="B5" s="15" t="n">
        <v>1100</v>
      </c>
      <c r="C5" s="15" t="n">
        <v>1050</v>
      </c>
      <c r="D5" s="15" t="n">
        <v>50</v>
      </c>
      <c r="E5" s="15">
        <f>B5-C5</f>
        <v/>
      </c>
      <c r="F5" s="16">
        <f>IF(B5&gt;0,D5/B5,0)</f>
        <v/>
      </c>
    </row>
    <row r="6" ht="18" customHeight="1">
      <c r="A6" s="45" t="inlineStr">
        <is>
          <t>Jan 2025</t>
        </is>
      </c>
      <c r="B6" s="19" t="n">
        <v>1350</v>
      </c>
      <c r="C6" s="19" t="n">
        <v>1000</v>
      </c>
      <c r="D6" s="19" t="n">
        <v>120</v>
      </c>
      <c r="E6" s="19">
        <f>B6-C6</f>
        <v/>
      </c>
      <c r="F6" s="20">
        <f>IF(B6&gt;0,D6/B6,0)</f>
        <v/>
      </c>
    </row>
    <row r="7" ht="18" customHeight="1">
      <c r="A7" s="44" t="inlineStr">
        <is>
          <t>Feb 2025</t>
        </is>
      </c>
      <c r="B7" s="15" t="n">
        <v>1320</v>
      </c>
      <c r="C7" s="15" t="n">
        <v>990</v>
      </c>
      <c r="D7" s="15" t="n">
        <v>115</v>
      </c>
      <c r="E7" s="15">
        <f>B7-C7</f>
        <v/>
      </c>
      <c r="F7" s="16">
        <f>IF(B7&gt;0,D7/B7,0)</f>
        <v/>
      </c>
    </row>
    <row r="8" ht="18" customHeight="1">
      <c r="A8" s="45" t="inlineStr">
        <is>
          <t>Mar 2025</t>
        </is>
      </c>
      <c r="B8" s="19" t="n">
        <v>1350</v>
      </c>
      <c r="C8" s="19" t="n">
        <v>1008</v>
      </c>
      <c r="D8" s="19" t="n">
        <v>120</v>
      </c>
      <c r="E8" s="19">
        <f>B8-C8</f>
        <v/>
      </c>
      <c r="F8" s="20">
        <f>IF(B8&gt;0,D8/B8,0)</f>
        <v/>
      </c>
    </row>
    <row r="9" ht="22" customHeight="1">
      <c r="A9" s="39" t="inlineStr">
        <is>
          <t>AVERAGE</t>
        </is>
      </c>
      <c r="B9" s="47">
        <f>AVERAGE(B3:B8)</f>
        <v/>
      </c>
      <c r="C9" s="47">
        <f>AVERAGE(C3:C8)</f>
        <v/>
      </c>
      <c r="D9" s="47">
        <f>AVERAGE(D3:D8)</f>
        <v/>
      </c>
      <c r="E9" s="47">
        <f>AVERAGE(E3:E8)</f>
        <v/>
      </c>
      <c r="F9" s="48">
        <f>AVERAGE(F3:F8)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2026-03-25T09:37:17Z</dcterms:created>
  <dcterms:modified xmlns:dcterms="http://purl.org/dc/terms/" xmlns:xsi="http://www.w3.org/2001/XMLSchema-instance" xsi:type="dcterms:W3CDTF">2026-03-25T09:37:17Z</dcterms:modified>
</cp:coreProperties>
</file>